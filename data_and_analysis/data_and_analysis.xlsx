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alysis" sheetId="2" r:id="rId6"/>
    <sheet state="visible" name="Error Analysis" sheetId="3" r:id="rId7"/>
  </sheets>
  <definedNames/>
  <calcPr/>
</workbook>
</file>

<file path=xl/sharedStrings.xml><?xml version="1.0" encoding="utf-8"?>
<sst xmlns="http://schemas.openxmlformats.org/spreadsheetml/2006/main" count="125" uniqueCount="88">
  <si>
    <t>PairID</t>
  </si>
  <si>
    <t>ItemID</t>
  </si>
  <si>
    <t>RItemID</t>
  </si>
  <si>
    <t>Speaker Awareness</t>
  </si>
  <si>
    <t>Story</t>
  </si>
  <si>
    <t>Option 1</t>
  </si>
  <si>
    <t>Option 2</t>
  </si>
  <si>
    <t>GPT Run 1 Response (Reasoning: OFF)</t>
  </si>
  <si>
    <t>GPT Run 2 Response (Reasoning: OFF)</t>
  </si>
  <si>
    <t>GPT Run 3 Response (Reasoning: OFF)</t>
  </si>
  <si>
    <t>GPT Run 1 Response (Reasoning: ON)</t>
  </si>
  <si>
    <t>GPT Run 2 Response (Reasoning: ON)</t>
  </si>
  <si>
    <t>Case</t>
  </si>
  <si>
    <t>GPT Run 3 Response (Reasoning: ON)</t>
  </si>
  <si>
    <t>Condition</t>
  </si>
  <si>
    <t>Model choice</t>
  </si>
  <si>
    <t>Reply</t>
  </si>
  <si>
    <t>Likely reason (based on its reply)</t>
  </si>
  <si>
    <t>Sarah / fries</t>
  </si>
  <si>
    <t>Reasoning ON, Unaware</t>
  </si>
  <si>
    <t>Aware</t>
  </si>
  <si>
    <t>Non-request, instead of Request</t>
  </si>
  <si>
    <t>2. I wish I could have a fry; too bad I’m allergic. Given the information that Sarah is allergic to potatoes, her comment is best understood as an expression of desire or regret—not a genuine request for a fry. It could function as an indirect request in another context, but here offering her one would be unsafe.</t>
  </si>
  <si>
    <t>You and your friend Jonathan are taking a road trip. You began in California, and are now passing through Michigan. It’s almost winter, so it’s very cold outside—especially for Southern California dwellers like you and Jonathan. You see that you’re almost out of gas, so you stop at a gas station in a small town.
You fill up the tank, and then the two of you go inside the gas station to buy some water and snacks. When you return to the car and start up the engine, you and Jonathan notice with some dismay a blinking light, which indicates that the car’s heating system is broken. You both bundle up.
As you leave the station, Jonathan shivers in his seat. (He turns to you and says, “Man, it’s really cold in here.”)</t>
  </si>
  <si>
    <t>Request</t>
  </si>
  <si>
    <t>Could you turn on the heater?</t>
  </si>
  <si>
    <t>The model's worst performing task (Wrong on all 6 runs). The model focused heavily on Sarah’s allergy and treated the comment as regret instead of an indirect request. It seemed to prioritize the obvious safety/health information over all else.</t>
  </si>
  <si>
    <t>Non Request</t>
  </si>
  <si>
    <t xml:space="preserve">I’m really cold; it’s too bad the heater is broken.
</t>
  </si>
  <si>
    <t>Total</t>
  </si>
  <si>
    <t>Request Rate</t>
  </si>
  <si>
    <t>Dad / fence</t>
  </si>
  <si>
    <t>Unaware</t>
  </si>
  <si>
    <t>Reasoning OFF, Unaware</t>
  </si>
  <si>
    <t>Aware request rate</t>
  </si>
  <si>
    <t>You and your friend Jonathan are taking a road trip. You began in California, and are now passing through Michigan. It’s almost winter, so it’s very cold outside—especially for Southern California dwellers like you and Jonathan. You see that you’re almost out of gas, so you stop at a gas station in a small town.
While you fill up the tank, Jonathan goes inside to buy some water and snacks. As you’re checking the meter, you notice with some dismay a blinking light, which indicates that the car’s heating system is broken. You finish filling up the gas and wait for Jonathan.
Jonathan returns with some snacks, and you both set off. As you leave the station, he shivers in his seat. (He turns to you and says, “Man, it’s really cold in here.”)</t>
  </si>
  <si>
    <t xml:space="preserve">Could you turn on the heater?
</t>
  </si>
  <si>
    <t>2. I’m glad someone is coming soon to paint the fence. The dad’s comment, “a new paint-job couldn’t come soon enough,” expresses that he wants the fence painted as soon as possible. Given that the painting company has already been scheduled, he is implicitly pleased that the work will happen soon—not asking you to do it yourself.</t>
  </si>
  <si>
    <t>I’m really cold; it’s too bad the heater is broken.</t>
  </si>
  <si>
    <t>Unaware request rate</t>
  </si>
  <si>
    <t>The model focused on the fact that the painting company was already coming (even if the Dad did not know about it), so it interpreted the sentence as a comment about the fence rather than a request to paint it.</t>
  </si>
  <si>
    <t>Speaker-Awareness effect (pp difference)</t>
  </si>
  <si>
    <t>Rob / party</t>
  </si>
  <si>
    <t>Reasoning ON, Aware</t>
  </si>
  <si>
    <t>Request, instead of Non-request</t>
  </si>
  <si>
    <t>1. Could I get a ride to the party? Given the context, Rob already relies on you for rides. His question is likely an indirect way of asking whether you’ll still be able to drive him, especially now that your car is being repaired. It also implicitly raises the issue of how both of you will get there.</t>
  </si>
  <si>
    <t>You’ve been renting a house with your two roommates, Lisa and Brian, for three months now. Things are going well, though both you and Lisa are not very responsible about cleaning; consequently, the house has a tendency to get dirty quickly—unwashed dishes in the sink, cluttered counters, the whole shebang.
Even worse, you and Lisa are directly responsible for the latest mess, which is the product of a recent dinner party. Brian’s something of a neat freak, so he’s pretty anxious about the mess.
This morning, during a house meeting with you and Brian, Lisa volunteered to take the lead on cleaning the kitchen when she gets home from work this evening.
In the afternoon, while Lisa is still at work, you and Brian are standing in the kitchen doorway, gazing in. (Brian turns to you and says, “You guys really did a number on the kitchen.”)</t>
  </si>
  <si>
    <t>Reasoning: OFF</t>
  </si>
  <si>
    <t xml:space="preserve">Could you clean up the kitchen when you get a chance?
</t>
  </si>
  <si>
    <t>The model focused on the fact that Rob usually gets rides from the speaker. It used that background expectation more than the fact that the car was unavailable.</t>
  </si>
  <si>
    <t xml:space="preserve">This kitchen is really dirty; good thing Lisa will take care of it soon.
</t>
  </si>
  <si>
    <t>You’ve been renting a house with your two roommates, Lisa and Brian, for three months now. Things are going well, though both you and Lisa are not very responsible about cleaning; consequently, the house has a tendency to get dirty quickly—unwashed dishes in the sink, cluttered counters, the whole shebang.
Even worse, you and Lisa are directly responsible for the latest mess, which is the product of a recent dinner party. Brian’s something of a neat freak, so he’s pretty anxious about the mess.
This morning, while Brian was still sleeping, Lisa volunteered to take the lead on cleaning the kitchen when she gets home from work this evening.
In the afternoon, while Lisa is still at work, you and Brian are standing in the kitchen doorway, gazing in. (Brian turns to you and says, “You guys really did a number on the kitchen.”)</t>
  </si>
  <si>
    <t xml:space="preserve">This kitchen is really dirty; good thing Lisa will take care of it soon.
</t>
  </si>
  <si>
    <t>You accompany your teenage daughter, Sarah, to the doctor so that she can be tested for allergies. She’s quite reluctant to go, but you promise her that after the appointment, you can go out to her favorite hamburger joint. The appointment goes well, and is very informative; as it turns out, Sarah does have several major food allergies. The doctor gives you a pamphlet containing more detailed information. Then, as promised, you take Sarah to a nearby diner to buy some hamburgers. You order a hamburger and some fries for yourself, a cheeseburger for Sarah, then sit down. 
When Sarah sits down, you flip through the pamphlet together; you’re both surprised to learn that she’s allergic to members of the “nightshade” family, which includes eggplant and potatoes.
About five minutes later, your food is served. (Sarah eyes your plate of fries and says, “Man, those fries look delicious...”)</t>
  </si>
  <si>
    <t xml:space="preserve">Could I have one of your fries?
</t>
  </si>
  <si>
    <t xml:space="preserve">I wish I could have a fry; too bad I’m allergic.
</t>
  </si>
  <si>
    <t>You accompany your teenage daughter, Sarah, to the doctor so that she can be tested for allergies. She’s quite reluctant to go, but you promise her that after the appointment, you can go out to her favorite hamburger joint. The appointment goes well, and is very informative; as it turns out, Sarah does have several major food allergies. The doctor gives you a pamphlet containing more detailed information. Then, as promised, you take Sarah to a nearby diner to buy some hamburgers. You order a hamburger and some fries for yourself, a cheeseburger for Sarah, then sit down. 
While Sarah is washing her hands in the restroom, you flip through the pamphlet; you’re surprised to learn that she’s allergic to members of the “nightshade” family, which includes eggplant and potatoes. 
About five minutes later, your food is served. (Sarah eyes your plate of fries and says, “Man, those fries look delicious...”)</t>
  </si>
  <si>
    <t>After a long week, you decide to treat yourself to a dinner for one at the fanciest restaurant in town. Just for the occasion, you break out your black and white tuxedo. Your spirits are high, but when you arrive at the restaurant, you’re somewhat embarrassed to realize that you’re wearing the exact same outfit as the restaurant’s waitstaff. 
While you’re waiting in line, you encounter another guest, who initially mistakes you for a waiter. You laugh about the misunderstanding, and then an actual waiter shows you to your table. 
Later, as you walk to the kitchen to pay your compliments to the chef, you pass by the same guest’s table. He is staring down at his meal with irritation. 
As you pass, he looks up at you, recognizes you from the line, and (He says, “This steak is so overdone!”)</t>
  </si>
  <si>
    <t xml:space="preserve">Waiter, could you get me another steak?
</t>
  </si>
  <si>
    <t xml:space="preserve">Too bad you don’t work here, since I really need another steak.
</t>
  </si>
  <si>
    <t>After a long week, you decide to treat yourself to a dinner for one at the fanciest restaurant in town. Just for the occasion, you break out your black and white tuxedo. Your spirits are high, but when you arrive at the restaurant, you’re somewhat embarrassed to realize that you’re wearing the exact same outfit as the restaurant’s waitstaff. 
While you’re waiting in line, you encounter another guest, who initially mistakes you for a waiter. You laugh about the misunderstanding, and then an actual waiter shows you to your table.
Later, as you walk to the kitchen to pay your compliments to the chef, you pass by another guest’s table. He is staring down at his meal with irritation. 
As you pass, he looks up at you, catches your eye, and (He says, “This steak is so overdone!”)</t>
  </si>
  <si>
    <t>After your first year of college, you move back home for the summer. Your parents are glad to have you home, but your dad insists that you do some weekly chores to “earn your keep”. You’d prefer to just relax, but it does keep you occupied, which isn’t all bad. Besides, the house is in need of some repairs; your parents are both busy people, so some chores have fallen by the wayside while you’ve been away. Most notably, the lawn has gotten overgrown, and the paint on the backyard fence is beginning to peel. During the first couple of weeks, you mow the lawn, rake the driveway, and water the garden, but you keep putting off painting the fence.
One day, your mom decides to take matter into her own hands.
With your dad’s encouragement, she calls a painting company to come and paint the fence; they schedule a time two days from now.
Later in the day, you’re reading in the living room. Your dad walks in and peers out the window with a slightly displeased expression on his face.
(He turns to you, his hands on his hips, and says, “Man, that fence is looking worse than ever; a new paint-job couldn’t come soon enough.”)</t>
  </si>
  <si>
    <t xml:space="preserve">When you get a chance, could you paint the fence?
</t>
  </si>
  <si>
    <t xml:space="preserve">I’m glad someone is coming soon to paint the fence.
</t>
  </si>
  <si>
    <t>After your first year of college, you move back home for the summer. Your parents are glad to have you home, but your dad insists that you do some weekly chores to “earn your keep”. You’d prefer to just relax, but it does keep you occupied, which isn’t all bad. Besides, the house is in need of some repairs; your parents are both busy people, so some chores have fallen by the wayside while you’ve been away. Most notably, the lawn has gotten overgrown, and the paint on the backyard fence is beginning to peel. During the first couple of weeks, you mow the lawn, rake the driveway, and water the garden, but you keep putting off painting the fence. 
One day, your mom decides to take matter into her own hands. 
While your dad’s away at work, she calls a painting company to come and paint the fence; they schedule a time two days from now. 
Later in the day, you’re reading in the living room when your dad returns from work. He walks in and peers out the window with a slightly displeased expression on his face. 
(He turns to you, his hands on his hips, and says, “Man, that fence is looking worse than ever; a new paint-job couldn’t come soon enough.”)</t>
  </si>
  <si>
    <t>You and your friend are exhausted and sweaty from playing tennis. After playing, you invite him back to your apartment to hang out. 
When you return to your apartment, you both see a notice taped to your apartment door: unfortunately, the water in your apartment building will be shut off for the next 24 hours. 
(Back in the kitchen, your friend turns to you and says: “I’m so thirsty…”)</t>
  </si>
  <si>
    <t xml:space="preserve">Could you get me a glass of water?
</t>
  </si>
  <si>
    <t xml:space="preserve">I am really thirsty, too bad your water is not working.
</t>
  </si>
  <si>
    <t>You and your friend are exhausted and sweaty from playing tennis. After playing, you invite him back to your apartment to hang out. 
When you return to your apartment, you go to your room, and privately check your email. You see that your landlord has sent you a message: unfortunately, the water in your apartment building will be shut off for the next 24 hours. 
(You return to the kitchen, your friend turns to you and says: “I’m so thirsty…”)</t>
  </si>
  <si>
    <t xml:space="preserve">Could you get me a glass of water?
</t>
  </si>
  <si>
    <t xml:space="preserve">I am really thirsty, too bad your water is not working.
</t>
  </si>
  <si>
    <t>After some deliberation, you invite a new acquaintance over for a dinner date. You prepare a feast, which you serve alongside some red wine. There’s only a small amount of wine left in the bottle, but you assure your date you have another bottle stashed away. 
About halfway through dinner, you excuse yourself to go to the bathroom. On the way back, you stop in the kitchen to grab the other bottle of wine. You’re surprised and irritated to find that there is no other bottle; you must have been mistaken. 
Sadly, you call out from the kitchen that the wine is all gone. 
When you return to the dining room, your date sips the last of her glass of wine. (She looks up at you and say, “This wine is excellent.”)</t>
  </si>
  <si>
    <t xml:space="preserve">Could I have another glass of wine?
</t>
  </si>
  <si>
    <t>This is really good wine; too bad there’s no more.</t>
  </si>
  <si>
    <t>After some deliberation, you invite a new acquaintance over for a dinner date. You prepare a feast, which you serve alongside some red wine. There’s only a small amount of wine left in the bottle, but you assure your date you have another bottle stashed away. 
About halfway through dinner, you excuse yourself to go to the bathroom. On the way back, you stop in the kitchen to grab the other bottle of wine. You’re surprised and irritated to find that there is no other bottle; you must have been mistaken. 
You walk back towards the dining room, unsure about what to tell your date. When you return to the dining room, your date sips the last of her glass of wine. (She looks up at you and say, “This wine is excellent.”)</t>
  </si>
  <si>
    <t xml:space="preserve">This is really good wine; too bad there’s no more.
</t>
  </si>
  <si>
    <t>You and your friend Rob get along well; your only complaint is that since he doesn’t have a car, you almost always have to pick him up and give him rides. Whenever you’re both going somewhere, it’s generally expected that you’ll drive him—but he treats you to coffee sometimes, so it all evens out. 
One day, after classes get out, you walk together to get some coffee at nearby coffeeshop. 
While you and Rob are sitting talking, you’re surprised to see your mechanic at the coffee shop. He walks up and informs you that your car, which you recently took in for a tune-up, will be under repair for at least another week. You rely on that car, so this is very frustrating. 
Once the mechanic leaves, you and Rob get to talking. Rob realizes you’ve both been invited to the same party later on in the week. 
(Rob says, “So… how are you planning on getting there?”)</t>
  </si>
  <si>
    <t xml:space="preserve">Could I get a ride to the party?
</t>
  </si>
  <si>
    <t xml:space="preserve">Since your car is in the shop, how are you planning on getting to the party?
</t>
  </si>
  <si>
    <t>You and your friend Rob get along well; your only complaint is that since he doesn’t have a car, you almost always have to pick him up and give him rides. Whenever you’re both going somewhere, it’s generally expected that you’ll drive him - but he treats you to coffee sometimes, so it all evens out. 
One day, after classes get out, you walk together to get some coffee at a nearby coffeeshop. 
Before you sit down, Rob steps outside to take a phone call. While he’s outside, you’re surprised to see your mechanic at the coffee shop. He walks up and informs you that your car, which you recently took in for a tune-up, will be under repair for at least another week. You rely on that car, so this is very frustrating.
Anyway, Rob finishes his phone call and returns to the table, and you both get to talking. Rob realizes you’ve both been invited to the same party later on in the week. 
(Rob says, “So… how are you planning on getting there?”)</t>
  </si>
  <si>
    <t>Reasoning: ON</t>
  </si>
  <si>
    <t>Humans (Trott 2019)</t>
  </si>
  <si>
    <t>Fisher's exact test</t>
  </si>
  <si>
    <t>p = 1.000</t>
  </si>
  <si>
    <t>p &lt; 0.001</t>
  </si>
  <si>
    <t>Interaction test</t>
  </si>
  <si>
    <t>Reasoning x Speaker Awareness</t>
  </si>
  <si>
    <t>p = 0.003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</si>
</sst>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2" fontId="1" numFmtId="0" xfId="0" applyAlignment="1" applyFill="1" applyFont="1">
      <alignment readingOrder="0" shrinkToFit="0" wrapText="1"/>
    </xf>
    <xf borderId="0" fillId="0" fontId="1" numFmtId="0" xfId="0" applyAlignment="1" applyFont="1">
      <alignment readingOrder="0" shrinkToFit="0" wrapText="1"/>
    </xf>
    <xf borderId="0" fillId="0" fontId="1" numFmtId="49" xfId="0" applyAlignment="1" applyFont="1" applyNumberFormat="1">
      <alignment readingOrder="0" shrinkToFit="0" wrapText="1"/>
    </xf>
    <xf borderId="0" fillId="0" fontId="2" numFmtId="0" xfId="0" applyAlignment="1" applyFont="1">
      <alignment shrinkToFit="0" vertical="bottom" wrapText="1"/>
    </xf>
    <xf borderId="0" fillId="0" fontId="2" numFmtId="0" xfId="0" applyAlignment="1" applyFont="1">
      <alignment vertical="bottom"/>
    </xf>
    <xf borderId="0" fillId="2" fontId="2" numFmtId="0" xfId="0" applyAlignment="1" applyFill="1" applyFont="1">
      <alignment shrinkToFit="0" vertical="bottom" wrapText="1"/>
    </xf>
    <xf borderId="0" fillId="2" fontId="2" numFmtId="0" xfId="0" applyAlignment="1" applyFill="1" applyFont="1">
      <alignment shrinkToFit="0" vertical="bottom" wrapText="1"/>
    </xf>
    <xf borderId="0" fillId="2" fontId="2" numFmtId="0" xfId="0" applyAlignment="1" applyFill="1" applyFont="1">
      <alignment readingOrder="0" shrinkToFit="0" vertical="bottom" wrapText="1"/>
    </xf>
    <xf borderId="0" fillId="0" fontId="1" numFmtId="164" xfId="0" applyAlignment="1" applyFont="1" applyNumberFormat="1">
      <alignment shrinkToFit="0" wrapText="1"/>
    </xf>
    <xf borderId="0" fillId="0" fontId="2" numFmtId="164" xfId="0" applyAlignment="1" applyFont="1" applyNumberFormat="1">
      <alignment horizontal="right" shrinkToFit="0" vertical="bottom" wrapText="1"/>
    </xf>
    <xf borderId="0" fillId="0" fontId="1" numFmtId="164" xfId="0" applyAlignment="1" applyFont="1" applyNumberFormat="1">
      <alignment readingOrder="0" shrinkToFit="0"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6.5"/>
    <col customWidth="1" min="3" max="3" width="7.38"/>
    <col customWidth="1" min="4" max="4" width="16.38"/>
    <col customWidth="1" min="5" max="5" width="77.38"/>
    <col customWidth="1" min="6" max="7" width="14.13"/>
    <col customWidth="1" min="8" max="8" width="15.0"/>
    <col customWidth="1" min="9" max="9" width="15.25"/>
    <col customWidth="1" min="10" max="10" width="15.63"/>
    <col customWidth="1" min="11" max="11" width="14.88"/>
    <col customWidth="1" min="12" max="12" width="15.0"/>
    <col customWidth="1" min="13" max="13" width="14.75"/>
  </cols>
  <sheetData>
    <row r="2">
      <c r="E2" s="1"/>
    </row>
    <row r="4">
      <c r="A4" s="3" t="s">
        <v>0</v>
      </c>
      <c r="B4" s="3" t="s">
        <v>1</v>
      </c>
      <c r="C4" s="3" t="s">
        <v>2</v>
      </c>
      <c r="D4" s="3" t="s">
        <v>3</v>
      </c>
      <c r="E4" s="3" t="s">
        <v>4</v>
      </c>
      <c r="F4" s="3" t="s">
        <v>5</v>
      </c>
      <c r="G4" s="3" t="s">
        <v>6</v>
      </c>
      <c r="H4" s="3" t="s">
        <v>7</v>
      </c>
      <c r="I4" s="3" t="s">
        <v>8</v>
      </c>
      <c r="J4" s="3" t="s">
        <v>9</v>
      </c>
      <c r="K4" s="3" t="s">
        <v>10</v>
      </c>
      <c r="L4" s="3" t="s">
        <v>11</v>
      </c>
      <c r="M4" s="3" t="s">
        <v>13</v>
      </c>
      <c r="O4" s="4"/>
    </row>
    <row r="5">
      <c r="A5" s="4">
        <v>1.0</v>
      </c>
      <c r="B5" s="4">
        <v>1.0</v>
      </c>
      <c r="C5" s="4">
        <v>1.1</v>
      </c>
      <c r="D5" s="4" t="s">
        <v>20</v>
      </c>
      <c r="E5" s="4" t="s">
        <v>23</v>
      </c>
      <c r="F5" s="4" t="s">
        <v>25</v>
      </c>
      <c r="G5" s="4" t="s">
        <v>28</v>
      </c>
      <c r="H5" s="4">
        <v>1.0</v>
      </c>
      <c r="I5" s="1">
        <v>1.0</v>
      </c>
      <c r="J5" s="1">
        <v>1.0</v>
      </c>
      <c r="K5" s="4">
        <v>2.0</v>
      </c>
      <c r="L5" s="1">
        <v>2.0</v>
      </c>
      <c r="M5" s="1">
        <v>2.0</v>
      </c>
      <c r="O5" s="4"/>
    </row>
    <row r="6">
      <c r="A6" s="4">
        <v>1.0</v>
      </c>
      <c r="B6" s="4">
        <v>2.0</v>
      </c>
      <c r="C6" s="4">
        <v>1.2</v>
      </c>
      <c r="D6" s="4" t="s">
        <v>32</v>
      </c>
      <c r="E6" s="4" t="s">
        <v>35</v>
      </c>
      <c r="F6" s="4" t="s">
        <v>36</v>
      </c>
      <c r="G6" s="4" t="s">
        <v>38</v>
      </c>
      <c r="H6" s="4">
        <v>1.0</v>
      </c>
      <c r="I6" s="1">
        <v>1.0</v>
      </c>
      <c r="J6" s="1">
        <v>1.0</v>
      </c>
      <c r="K6" s="4">
        <v>1.0</v>
      </c>
      <c r="L6" s="1">
        <v>1.0</v>
      </c>
      <c r="M6" s="1">
        <v>1.0</v>
      </c>
      <c r="O6" s="4"/>
    </row>
    <row r="7">
      <c r="A7" s="4">
        <v>2.0</v>
      </c>
      <c r="B7" s="4">
        <v>3.0</v>
      </c>
      <c r="C7" s="4">
        <v>2.1</v>
      </c>
      <c r="D7" s="4" t="s">
        <v>20</v>
      </c>
      <c r="E7" s="4" t="s">
        <v>46</v>
      </c>
      <c r="F7" s="4" t="s">
        <v>48</v>
      </c>
      <c r="G7" s="4" t="s">
        <v>50</v>
      </c>
      <c r="H7" s="4">
        <v>2.0</v>
      </c>
      <c r="I7" s="1">
        <v>2.0</v>
      </c>
      <c r="J7" s="1">
        <v>2.0</v>
      </c>
      <c r="K7" s="4">
        <v>2.0</v>
      </c>
      <c r="L7" s="1">
        <v>2.0</v>
      </c>
      <c r="M7" s="1">
        <v>2.0</v>
      </c>
      <c r="O7" s="4"/>
    </row>
    <row r="8">
      <c r="A8" s="4">
        <v>2.0</v>
      </c>
      <c r="B8" s="4">
        <v>4.0</v>
      </c>
      <c r="C8" s="4">
        <v>2.2</v>
      </c>
      <c r="D8" s="4" t="s">
        <v>32</v>
      </c>
      <c r="E8" s="4" t="s">
        <v>51</v>
      </c>
      <c r="F8" s="4" t="s">
        <v>48</v>
      </c>
      <c r="G8" s="4" t="s">
        <v>52</v>
      </c>
      <c r="H8" s="4">
        <v>1.0</v>
      </c>
      <c r="I8" s="1">
        <v>1.0</v>
      </c>
      <c r="J8" s="1">
        <v>2.0</v>
      </c>
      <c r="K8" s="4">
        <v>1.0</v>
      </c>
      <c r="L8" s="1">
        <v>2.0</v>
      </c>
      <c r="M8" s="1">
        <v>1.0</v>
      </c>
      <c r="O8" s="4"/>
    </row>
    <row r="9">
      <c r="A9" s="4">
        <v>3.0</v>
      </c>
      <c r="B9" s="4">
        <v>5.0</v>
      </c>
      <c r="C9" s="4">
        <v>3.1</v>
      </c>
      <c r="D9" s="4" t="s">
        <v>20</v>
      </c>
      <c r="E9" s="4" t="s">
        <v>53</v>
      </c>
      <c r="F9" s="4" t="s">
        <v>54</v>
      </c>
      <c r="G9" s="4" t="s">
        <v>55</v>
      </c>
      <c r="H9" s="4">
        <v>2.0</v>
      </c>
      <c r="I9" s="1">
        <v>2.0</v>
      </c>
      <c r="J9" s="1">
        <v>2.0</v>
      </c>
      <c r="K9" s="4">
        <v>2.0</v>
      </c>
      <c r="L9" s="1">
        <v>2.0</v>
      </c>
      <c r="M9" s="1">
        <v>2.0</v>
      </c>
      <c r="O9" s="4"/>
    </row>
    <row r="10">
      <c r="A10" s="4">
        <v>3.0</v>
      </c>
      <c r="B10" s="4">
        <v>6.0</v>
      </c>
      <c r="C10" s="4">
        <v>3.2</v>
      </c>
      <c r="D10" s="4" t="s">
        <v>32</v>
      </c>
      <c r="E10" s="4" t="s">
        <v>56</v>
      </c>
      <c r="F10" s="4" t="s">
        <v>54</v>
      </c>
      <c r="G10" s="4" t="s">
        <v>55</v>
      </c>
      <c r="H10" s="4">
        <v>2.0</v>
      </c>
      <c r="I10" s="1">
        <v>2.0</v>
      </c>
      <c r="J10" s="1">
        <v>2.0</v>
      </c>
      <c r="K10" s="4">
        <v>2.0</v>
      </c>
      <c r="L10" s="1">
        <v>2.0</v>
      </c>
      <c r="M10" s="1">
        <v>2.0</v>
      </c>
      <c r="O10" s="4"/>
    </row>
    <row r="11">
      <c r="A11" s="4">
        <v>4.0</v>
      </c>
      <c r="B11" s="4">
        <v>7.0</v>
      </c>
      <c r="C11" s="4">
        <v>4.1</v>
      </c>
      <c r="D11" s="4" t="s">
        <v>20</v>
      </c>
      <c r="E11" s="4" t="s">
        <v>57</v>
      </c>
      <c r="F11" s="4" t="s">
        <v>58</v>
      </c>
      <c r="G11" s="4" t="s">
        <v>59</v>
      </c>
      <c r="H11" s="4">
        <v>1.0</v>
      </c>
      <c r="I11" s="1">
        <v>1.0</v>
      </c>
      <c r="J11" s="1">
        <v>1.0</v>
      </c>
      <c r="K11" s="4">
        <v>2.0</v>
      </c>
      <c r="L11" s="1">
        <v>2.0</v>
      </c>
      <c r="M11" s="1">
        <v>2.0</v>
      </c>
      <c r="O11" s="4"/>
    </row>
    <row r="12">
      <c r="A12" s="4">
        <v>4.0</v>
      </c>
      <c r="B12" s="4">
        <v>8.0</v>
      </c>
      <c r="C12" s="4">
        <v>4.2</v>
      </c>
      <c r="D12" s="4" t="s">
        <v>32</v>
      </c>
      <c r="E12" s="4" t="s">
        <v>60</v>
      </c>
      <c r="F12" s="4" t="s">
        <v>58</v>
      </c>
      <c r="G12" s="4" t="s">
        <v>59</v>
      </c>
      <c r="H12" s="4">
        <v>1.0</v>
      </c>
      <c r="I12" s="1">
        <v>1.0</v>
      </c>
      <c r="J12" s="1">
        <v>1.0</v>
      </c>
      <c r="K12" s="4">
        <v>1.0</v>
      </c>
      <c r="L12" s="1">
        <v>1.0</v>
      </c>
      <c r="M12" s="1">
        <v>1.0</v>
      </c>
      <c r="O12" s="4"/>
    </row>
    <row r="13">
      <c r="A13" s="4">
        <v>5.0</v>
      </c>
      <c r="B13" s="4">
        <v>9.0</v>
      </c>
      <c r="C13" s="4">
        <v>5.1</v>
      </c>
      <c r="D13" s="4" t="s">
        <v>20</v>
      </c>
      <c r="E13" s="4" t="s">
        <v>61</v>
      </c>
      <c r="F13" s="4" t="s">
        <v>62</v>
      </c>
      <c r="G13" s="4" t="s">
        <v>63</v>
      </c>
      <c r="H13" s="4">
        <v>2.0</v>
      </c>
      <c r="I13" s="1">
        <v>2.0</v>
      </c>
      <c r="J13" s="1">
        <v>2.0</v>
      </c>
      <c r="K13" s="4">
        <v>2.0</v>
      </c>
      <c r="L13" s="1">
        <v>2.0</v>
      </c>
      <c r="M13" s="1">
        <v>2.0</v>
      </c>
      <c r="O13" s="4"/>
    </row>
    <row r="14">
      <c r="A14" s="4">
        <v>5.0</v>
      </c>
      <c r="B14" s="4">
        <v>10.0</v>
      </c>
      <c r="C14" s="4">
        <v>5.2</v>
      </c>
      <c r="D14" s="4" t="s">
        <v>32</v>
      </c>
      <c r="E14" s="4" t="s">
        <v>64</v>
      </c>
      <c r="F14" s="4" t="s">
        <v>62</v>
      </c>
      <c r="G14" s="4" t="s">
        <v>63</v>
      </c>
      <c r="H14" s="4">
        <v>2.0</v>
      </c>
      <c r="I14" s="1">
        <v>2.0</v>
      </c>
      <c r="J14" s="1">
        <v>2.0</v>
      </c>
      <c r="K14" s="4">
        <v>1.0</v>
      </c>
      <c r="L14" s="1">
        <v>2.0</v>
      </c>
      <c r="M14" s="1">
        <v>2.0</v>
      </c>
      <c r="O14" s="4"/>
    </row>
    <row r="15">
      <c r="A15" s="4">
        <v>6.0</v>
      </c>
      <c r="B15" s="4">
        <v>11.0</v>
      </c>
      <c r="C15" s="4">
        <v>6.1</v>
      </c>
      <c r="D15" s="4" t="s">
        <v>20</v>
      </c>
      <c r="E15" s="4" t="s">
        <v>65</v>
      </c>
      <c r="F15" s="4" t="s">
        <v>66</v>
      </c>
      <c r="G15" s="4" t="s">
        <v>67</v>
      </c>
      <c r="H15" s="4">
        <v>2.0</v>
      </c>
      <c r="I15" s="1">
        <v>2.0</v>
      </c>
      <c r="J15" s="1">
        <v>1.0</v>
      </c>
      <c r="K15" s="4">
        <v>2.0</v>
      </c>
      <c r="L15" s="1">
        <v>2.0</v>
      </c>
      <c r="M15" s="1">
        <v>2.0</v>
      </c>
      <c r="O15" s="4"/>
    </row>
    <row r="16">
      <c r="A16" s="4">
        <v>6.0</v>
      </c>
      <c r="B16" s="4">
        <v>12.0</v>
      </c>
      <c r="C16" s="4">
        <v>6.2</v>
      </c>
      <c r="D16" s="4" t="s">
        <v>32</v>
      </c>
      <c r="E16" s="4" t="s">
        <v>68</v>
      </c>
      <c r="F16" s="4" t="s">
        <v>69</v>
      </c>
      <c r="G16" s="4" t="s">
        <v>70</v>
      </c>
      <c r="H16" s="4">
        <v>1.0</v>
      </c>
      <c r="I16" s="1">
        <v>1.0</v>
      </c>
      <c r="J16" s="1">
        <v>1.0</v>
      </c>
      <c r="K16" s="4">
        <v>1.0</v>
      </c>
      <c r="L16" s="1">
        <v>1.0</v>
      </c>
      <c r="M16" s="1">
        <v>1.0</v>
      </c>
      <c r="O16" s="4"/>
    </row>
    <row r="17">
      <c r="A17" s="4">
        <v>7.0</v>
      </c>
      <c r="B17" s="4">
        <v>13.0</v>
      </c>
      <c r="C17" s="4">
        <v>7.1</v>
      </c>
      <c r="D17" s="4" t="s">
        <v>20</v>
      </c>
      <c r="E17" s="4" t="s">
        <v>71</v>
      </c>
      <c r="F17" s="4" t="s">
        <v>72</v>
      </c>
      <c r="G17" s="4" t="s">
        <v>73</v>
      </c>
      <c r="H17" s="4">
        <v>2.0</v>
      </c>
      <c r="I17" s="1">
        <v>1.0</v>
      </c>
      <c r="J17" s="1">
        <v>2.0</v>
      </c>
      <c r="K17" s="4">
        <v>2.0</v>
      </c>
      <c r="L17" s="1">
        <v>2.0</v>
      </c>
      <c r="M17" s="1">
        <v>2.0</v>
      </c>
      <c r="O17" s="4"/>
    </row>
    <row r="18">
      <c r="A18" s="4">
        <v>7.0</v>
      </c>
      <c r="B18" s="4">
        <v>14.0</v>
      </c>
      <c r="C18" s="4">
        <v>7.2</v>
      </c>
      <c r="D18" s="4" t="s">
        <v>32</v>
      </c>
      <c r="E18" s="4" t="s">
        <v>74</v>
      </c>
      <c r="F18" s="4" t="s">
        <v>72</v>
      </c>
      <c r="G18" s="4" t="s">
        <v>75</v>
      </c>
      <c r="H18" s="4">
        <v>2.0</v>
      </c>
      <c r="I18" s="1">
        <v>2.0</v>
      </c>
      <c r="J18" s="1">
        <v>2.0</v>
      </c>
      <c r="K18" s="4">
        <v>2.0</v>
      </c>
      <c r="L18" s="1">
        <v>1.0</v>
      </c>
      <c r="M18" s="1">
        <v>1.0</v>
      </c>
      <c r="O18" s="4"/>
    </row>
    <row r="19">
      <c r="A19" s="4">
        <v>8.0</v>
      </c>
      <c r="B19" s="4">
        <v>15.0</v>
      </c>
      <c r="C19" s="4">
        <v>8.1</v>
      </c>
      <c r="D19" s="4" t="s">
        <v>20</v>
      </c>
      <c r="E19" s="4" t="s">
        <v>76</v>
      </c>
      <c r="F19" s="4" t="s">
        <v>77</v>
      </c>
      <c r="G19" s="4" t="s">
        <v>78</v>
      </c>
      <c r="H19" s="4">
        <v>1.0</v>
      </c>
      <c r="I19" s="1">
        <v>1.0</v>
      </c>
      <c r="J19" s="1">
        <v>1.0</v>
      </c>
      <c r="K19" s="4">
        <v>1.0</v>
      </c>
      <c r="L19" s="1">
        <v>1.0</v>
      </c>
      <c r="M19" s="1">
        <v>2.0</v>
      </c>
      <c r="O19" s="4"/>
    </row>
    <row r="20">
      <c r="A20" s="4">
        <v>8.0</v>
      </c>
      <c r="B20" s="4">
        <v>16.0</v>
      </c>
      <c r="C20" s="4">
        <v>8.2</v>
      </c>
      <c r="D20" s="4" t="s">
        <v>32</v>
      </c>
      <c r="E20" s="4" t="s">
        <v>79</v>
      </c>
      <c r="F20" s="4" t="s">
        <v>77</v>
      </c>
      <c r="G20" s="4" t="s">
        <v>78</v>
      </c>
      <c r="H20" s="4">
        <v>2.0</v>
      </c>
      <c r="I20" s="1">
        <v>2.0</v>
      </c>
      <c r="J20" s="1">
        <v>1.0</v>
      </c>
      <c r="K20" s="4">
        <v>1.0</v>
      </c>
      <c r="L20" s="1">
        <v>1.0</v>
      </c>
      <c r="M20" s="1">
        <v>1.0</v>
      </c>
      <c r="O20" s="4"/>
    </row>
    <row r="21">
      <c r="A21" s="4"/>
      <c r="B21" s="4"/>
      <c r="C21" s="4"/>
      <c r="D21" s="2"/>
      <c r="E21" s="4"/>
      <c r="F21" s="4"/>
      <c r="G21" s="4"/>
      <c r="H21" s="2"/>
      <c r="I21" s="2"/>
    </row>
    <row r="22">
      <c r="A22" s="4"/>
      <c r="B22" s="4"/>
      <c r="C22" s="4"/>
      <c r="D22" s="2"/>
      <c r="E22" s="4"/>
      <c r="F22" s="4"/>
      <c r="G22" s="4"/>
      <c r="H22" s="2"/>
      <c r="I22" s="2"/>
    </row>
    <row r="23">
      <c r="A23" s="4"/>
      <c r="B23" s="4"/>
      <c r="C23" s="4"/>
      <c r="D23" s="2"/>
      <c r="E23" s="4"/>
      <c r="F23" s="2"/>
      <c r="G23" s="2"/>
      <c r="H23" s="2"/>
      <c r="I23" s="2"/>
    </row>
    <row r="24">
      <c r="A24" s="4"/>
      <c r="B24" s="4"/>
      <c r="C24" s="4"/>
      <c r="D24" s="2"/>
      <c r="E24" s="2"/>
      <c r="F24" s="2"/>
      <c r="G24" s="2"/>
      <c r="H24" s="2"/>
      <c r="I24" s="2"/>
    </row>
    <row r="25">
      <c r="A25" s="4"/>
      <c r="B25" s="4"/>
      <c r="C25" s="4"/>
      <c r="D25" s="2"/>
      <c r="E25" s="2"/>
      <c r="F25" s="2"/>
      <c r="G25" s="2"/>
      <c r="H25" s="2"/>
      <c r="I25" s="2"/>
    </row>
    <row r="26">
      <c r="A26" s="4"/>
      <c r="B26" s="4"/>
      <c r="C26" s="4"/>
      <c r="D26" s="2"/>
      <c r="E26" s="2"/>
      <c r="F26" s="2"/>
      <c r="G26" s="2"/>
      <c r="H26" s="2"/>
      <c r="I26" s="2"/>
    </row>
    <row r="27">
      <c r="A27" s="4"/>
      <c r="B27" s="4"/>
      <c r="C27" s="4"/>
      <c r="D27" s="2"/>
      <c r="E27" s="2"/>
      <c r="F27" s="2"/>
      <c r="G27" s="2"/>
      <c r="H27" s="2"/>
      <c r="I27" s="2"/>
    </row>
    <row r="28">
      <c r="A28" s="4"/>
      <c r="B28" s="4"/>
      <c r="C28" s="4"/>
      <c r="D28" s="2"/>
      <c r="E28" s="2"/>
      <c r="F28" s="2"/>
      <c r="G28" s="2"/>
      <c r="H28" s="2"/>
      <c r="I28" s="2"/>
    </row>
    <row r="29">
      <c r="A29" s="4"/>
      <c r="B29" s="4"/>
      <c r="C29" s="4"/>
      <c r="D29" s="2"/>
      <c r="E29" s="2"/>
      <c r="F29" s="2"/>
      <c r="G29" s="2"/>
      <c r="H29" s="2"/>
      <c r="I29" s="2"/>
    </row>
    <row r="30">
      <c r="A30" s="4"/>
      <c r="B30" s="4"/>
      <c r="C30" s="4"/>
      <c r="D30" s="2"/>
      <c r="E30" s="2"/>
      <c r="F30" s="2"/>
      <c r="G30" s="2"/>
      <c r="H30" s="2"/>
      <c r="I30" s="2"/>
    </row>
    <row r="31">
      <c r="A31" s="4"/>
      <c r="B31" s="4"/>
      <c r="C31" s="4"/>
      <c r="D31" s="2"/>
      <c r="E31" s="2"/>
      <c r="F31" s="2"/>
      <c r="G31" s="2"/>
      <c r="H31" s="2"/>
      <c r="I31" s="2"/>
    </row>
    <row r="32">
      <c r="A32" s="4"/>
      <c r="B32" s="4"/>
      <c r="C32" s="4"/>
      <c r="D32" s="2"/>
      <c r="E32" s="2"/>
      <c r="F32" s="2"/>
      <c r="G32" s="2"/>
      <c r="H32" s="2"/>
      <c r="I32" s="2"/>
    </row>
    <row r="33">
      <c r="A33" s="4"/>
      <c r="B33" s="4"/>
      <c r="C33" s="4"/>
      <c r="D33" s="2"/>
      <c r="E33" s="2"/>
      <c r="F33" s="2"/>
      <c r="G33" s="2"/>
      <c r="H33" s="2"/>
      <c r="I33" s="2"/>
    </row>
    <row r="34">
      <c r="A34" s="4"/>
      <c r="B34" s="4"/>
      <c r="C34" s="4"/>
      <c r="D34" s="2"/>
      <c r="E34" s="2"/>
      <c r="F34" s="2"/>
      <c r="G34" s="2"/>
      <c r="H34" s="2"/>
      <c r="I34" s="2"/>
    </row>
    <row r="35">
      <c r="A35" s="4"/>
      <c r="B35" s="4"/>
      <c r="C35" s="4"/>
      <c r="D35" s="2"/>
      <c r="E35" s="2"/>
      <c r="F35" s="2"/>
      <c r="G35" s="2"/>
      <c r="H35" s="2"/>
      <c r="I35" s="2"/>
    </row>
    <row r="36">
      <c r="A36" s="4"/>
      <c r="B36" s="4"/>
      <c r="C36" s="4"/>
      <c r="D36" s="2"/>
      <c r="E36" s="2"/>
      <c r="F36" s="2"/>
      <c r="G36" s="2"/>
      <c r="H36" s="2"/>
      <c r="I36" s="2"/>
    </row>
    <row r="37">
      <c r="A37" s="2"/>
      <c r="B37" s="2"/>
      <c r="C37" s="2"/>
      <c r="D37" s="2"/>
      <c r="E37" s="2"/>
      <c r="F37" s="2"/>
      <c r="G37" s="2"/>
      <c r="H37" s="2"/>
      <c r="I37" s="2"/>
    </row>
    <row r="38">
      <c r="A38" s="2"/>
      <c r="B38" s="2"/>
      <c r="C38" s="2"/>
      <c r="D38" s="2"/>
      <c r="E38" s="2"/>
      <c r="F38" s="2"/>
      <c r="G38" s="2"/>
      <c r="H38" s="2"/>
      <c r="I38" s="2"/>
    </row>
    <row r="39">
      <c r="A39" s="2"/>
      <c r="B39" s="2"/>
      <c r="C39" s="2"/>
      <c r="D39" s="2"/>
      <c r="E39" s="2"/>
      <c r="F39" s="2"/>
      <c r="G39" s="2"/>
      <c r="H39" s="2"/>
      <c r="I39" s="2"/>
    </row>
    <row r="40">
      <c r="A40" s="2"/>
      <c r="B40" s="2"/>
      <c r="C40" s="2"/>
      <c r="D40" s="2"/>
      <c r="E40" s="2"/>
      <c r="F40" s="2"/>
      <c r="G40" s="2"/>
      <c r="H40" s="2"/>
      <c r="I40" s="2"/>
    </row>
    <row r="41">
      <c r="A41" s="2"/>
      <c r="B41" s="2"/>
      <c r="C41" s="2"/>
      <c r="D41" s="2"/>
      <c r="E41" s="2"/>
      <c r="F41" s="2"/>
      <c r="G41" s="2"/>
      <c r="H41" s="2"/>
      <c r="I41" s="2"/>
    </row>
    <row r="42">
      <c r="A42" s="2"/>
      <c r="B42" s="2"/>
      <c r="C42" s="2"/>
      <c r="D42" s="2"/>
      <c r="E42" s="2"/>
      <c r="F42" s="2"/>
      <c r="G42" s="2"/>
      <c r="H42" s="2"/>
      <c r="I42" s="2"/>
    </row>
    <row r="43">
      <c r="A43" s="2"/>
      <c r="B43" s="2"/>
      <c r="C43" s="2"/>
      <c r="D43" s="2"/>
      <c r="E43" s="2"/>
      <c r="F43" s="2"/>
      <c r="G43" s="2"/>
      <c r="H43" s="2"/>
      <c r="I43" s="2"/>
    </row>
    <row r="44">
      <c r="A44" s="2"/>
      <c r="B44" s="2"/>
      <c r="C44" s="2"/>
      <c r="D44" s="2"/>
      <c r="E44" s="2"/>
      <c r="F44" s="2"/>
      <c r="G44" s="2"/>
      <c r="H44" s="2"/>
      <c r="I44" s="2"/>
    </row>
    <row r="45">
      <c r="A45" s="2"/>
      <c r="B45" s="2"/>
      <c r="C45" s="2"/>
      <c r="D45" s="2"/>
      <c r="E45" s="2"/>
      <c r="F45" s="2"/>
      <c r="G45" s="2"/>
      <c r="H45" s="2"/>
      <c r="I45" s="2"/>
    </row>
    <row r="46">
      <c r="A46" s="2"/>
      <c r="B46" s="2"/>
      <c r="C46" s="2"/>
      <c r="D46" s="2"/>
      <c r="E46" s="2"/>
      <c r="F46" s="2"/>
      <c r="G46" s="2"/>
      <c r="H46" s="2"/>
      <c r="I46" s="2"/>
    </row>
    <row r="47">
      <c r="A47" s="2"/>
      <c r="B47" s="2"/>
      <c r="C47" s="2"/>
      <c r="D47" s="2"/>
      <c r="E47" s="2"/>
      <c r="F47" s="2"/>
      <c r="G47" s="2"/>
      <c r="H47" s="2"/>
      <c r="I47" s="2"/>
    </row>
    <row r="48">
      <c r="A48" s="2"/>
      <c r="B48" s="2"/>
      <c r="C48" s="2"/>
      <c r="D48" s="2"/>
      <c r="E48" s="2"/>
      <c r="F48" s="2"/>
      <c r="G48" s="2"/>
      <c r="H48" s="2"/>
      <c r="I48" s="2"/>
    </row>
    <row r="49">
      <c r="A49" s="2"/>
      <c r="B49" s="2"/>
      <c r="C49" s="2"/>
      <c r="D49" s="2"/>
      <c r="E49" s="2"/>
      <c r="F49" s="2"/>
      <c r="G49" s="2"/>
      <c r="H49" s="2"/>
      <c r="I49" s="2"/>
    </row>
    <row r="50">
      <c r="A50" s="2"/>
      <c r="B50" s="2"/>
      <c r="C50" s="2"/>
      <c r="D50" s="2"/>
      <c r="E50" s="2"/>
      <c r="F50" s="2"/>
      <c r="G50" s="2"/>
      <c r="H50" s="2"/>
      <c r="I50" s="2"/>
    </row>
    <row r="51">
      <c r="A51" s="2"/>
      <c r="B51" s="2"/>
      <c r="C51" s="2"/>
      <c r="D51" s="2"/>
      <c r="E51" s="2"/>
      <c r="F51" s="2"/>
      <c r="G51" s="2"/>
      <c r="H51" s="2"/>
      <c r="I51" s="2"/>
    </row>
    <row r="52">
      <c r="A52" s="2"/>
      <c r="B52" s="2"/>
      <c r="C52" s="2"/>
      <c r="D52" s="2"/>
      <c r="E52" s="2"/>
      <c r="F52" s="2"/>
      <c r="G52" s="2"/>
      <c r="H52" s="2"/>
      <c r="I52" s="2"/>
    </row>
    <row r="53">
      <c r="A53" s="2"/>
      <c r="B53" s="2"/>
      <c r="C53" s="2"/>
      <c r="D53" s="2"/>
      <c r="E53" s="2"/>
      <c r="F53" s="2"/>
      <c r="G53" s="2"/>
      <c r="H53" s="2"/>
      <c r="I53" s="2"/>
    </row>
    <row r="54">
      <c r="A54" s="2"/>
      <c r="B54" s="2"/>
      <c r="C54" s="2"/>
      <c r="D54" s="2"/>
      <c r="E54" s="2"/>
      <c r="F54" s="2"/>
      <c r="G54" s="2"/>
      <c r="H54" s="2"/>
      <c r="I54" s="2"/>
    </row>
    <row r="55">
      <c r="A55" s="2"/>
      <c r="B55" s="2"/>
      <c r="C55" s="2"/>
      <c r="D55" s="2"/>
      <c r="E55" s="2"/>
      <c r="F55" s="2"/>
      <c r="G55" s="2"/>
      <c r="H55" s="2"/>
      <c r="I55" s="2"/>
    </row>
    <row r="56">
      <c r="A56" s="2"/>
      <c r="B56" s="2"/>
      <c r="C56" s="2"/>
      <c r="D56" s="2"/>
      <c r="E56" s="2"/>
      <c r="F56" s="2"/>
      <c r="G56" s="2"/>
      <c r="H56" s="2"/>
      <c r="I5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6.63"/>
    <col customWidth="1" min="3" max="3" width="9.38"/>
    <col customWidth="1" min="4" max="4" width="10.63"/>
    <col customWidth="1" min="5" max="5" width="9.25"/>
    <col customWidth="1" min="6" max="6" width="14.38"/>
    <col customWidth="1" min="7" max="7" width="9.25"/>
    <col customWidth="1" min="8" max="8" width="10.38"/>
    <col customWidth="1" min="9" max="9" width="9.0"/>
    <col customWidth="1" min="10" max="10" width="17.0"/>
    <col customWidth="1" min="11" max="11" width="11.0"/>
    <col customWidth="1" min="12" max="12" width="11.25"/>
    <col customWidth="1" min="13" max="13" width="16.75"/>
    <col customWidth="1" min="14" max="14" width="10.13"/>
  </cols>
  <sheetData>
    <row r="2">
      <c r="A2" s="2"/>
      <c r="B2" s="2"/>
      <c r="C2" s="2"/>
      <c r="D2" s="2"/>
      <c r="E2" s="2"/>
      <c r="F2" s="2"/>
      <c r="G2" s="2"/>
      <c r="H2" s="2"/>
      <c r="I2" s="2"/>
      <c r="J2" s="2"/>
      <c r="K2" s="2"/>
      <c r="L2" s="2"/>
      <c r="M2" s="2"/>
      <c r="N2" s="2"/>
      <c r="O2" s="2"/>
      <c r="P2" s="2"/>
      <c r="Q2" s="2"/>
      <c r="R2" s="2"/>
      <c r="S2" s="2"/>
      <c r="T2" s="2"/>
      <c r="U2" s="2"/>
    </row>
    <row r="3">
      <c r="A3" s="2"/>
      <c r="B3" s="2"/>
      <c r="C3" s="2"/>
      <c r="D3" s="2"/>
      <c r="E3" s="2"/>
      <c r="F3" s="2"/>
      <c r="G3" s="2"/>
      <c r="H3" s="2"/>
      <c r="I3" s="2"/>
      <c r="J3" s="2"/>
      <c r="K3" s="2"/>
      <c r="L3" s="2"/>
      <c r="M3" s="2"/>
      <c r="N3" s="2"/>
      <c r="O3" s="2"/>
      <c r="P3" s="2"/>
      <c r="Q3" s="2"/>
      <c r="R3" s="2"/>
      <c r="S3" s="2"/>
      <c r="T3" s="2"/>
      <c r="U3" s="2"/>
    </row>
    <row r="4">
      <c r="A4" s="3" t="s">
        <v>14</v>
      </c>
      <c r="B4" s="3" t="s">
        <v>3</v>
      </c>
      <c r="C4" s="3" t="s">
        <v>24</v>
      </c>
      <c r="D4" s="3" t="s">
        <v>27</v>
      </c>
      <c r="E4" s="3" t="s">
        <v>29</v>
      </c>
      <c r="F4" s="3" t="s">
        <v>30</v>
      </c>
      <c r="G4" s="2"/>
      <c r="H4" s="2"/>
      <c r="I4" s="6"/>
      <c r="J4" s="7"/>
      <c r="K4" s="8" t="s">
        <v>34</v>
      </c>
      <c r="L4" s="9" t="s">
        <v>39</v>
      </c>
      <c r="M4" s="10" t="s">
        <v>41</v>
      </c>
      <c r="N4" s="2"/>
      <c r="O4" s="2"/>
      <c r="P4" s="2"/>
      <c r="Q4" s="2"/>
      <c r="R4" s="2"/>
      <c r="S4" s="2"/>
      <c r="T4" s="2"/>
      <c r="U4" s="2"/>
    </row>
    <row r="5">
      <c r="A5" s="3" t="s">
        <v>47</v>
      </c>
      <c r="B5" s="4" t="s">
        <v>20</v>
      </c>
      <c r="C5" s="2">
        <f>COUNTIFS(Data!D:D,"Aware",Data!H:H,1)+COUNTIFS(Data!D:D,"Aware",Data!I:I,1)+COUNTIFS(Data!D:D,"Aware",Data!J:J,1)</f>
        <v>11</v>
      </c>
      <c r="D5" s="2">
        <f>COUNTIFS(Data!D:D,"Aware",Data!H:H,2)+COUNTIFS(Data!D:D,"Aware",Data!I:I,2)+COUNTIFS(Data!D:D,"Aware",Data!J:J,2)</f>
        <v>13</v>
      </c>
      <c r="E5" s="2">
        <f t="shared" ref="E5:E6" si="1">SUM(C5:D5)</f>
        <v>24</v>
      </c>
      <c r="F5" s="11">
        <f t="shared" ref="F5:F6" si="2">(C5/E5)</f>
        <v>0.4583333333</v>
      </c>
      <c r="G5" s="2"/>
      <c r="H5" s="2"/>
      <c r="I5" s="6"/>
      <c r="J5" s="8" t="s">
        <v>47</v>
      </c>
      <c r="K5" s="12">
        <f>F5</f>
        <v>0.4583333333</v>
      </c>
      <c r="L5" s="12">
        <f>F6</f>
        <v>0.5</v>
      </c>
      <c r="M5" s="12">
        <f t="shared" ref="M5:M6" si="3">L5-K5</f>
        <v>0.04166666667</v>
      </c>
      <c r="N5" s="2"/>
      <c r="O5" s="2"/>
      <c r="P5" s="2"/>
      <c r="Q5" s="2"/>
      <c r="R5" s="2"/>
      <c r="S5" s="2"/>
      <c r="T5" s="2"/>
      <c r="U5" s="2"/>
    </row>
    <row r="6">
      <c r="A6" s="3" t="s">
        <v>47</v>
      </c>
      <c r="B6" s="4" t="s">
        <v>32</v>
      </c>
      <c r="C6" s="2">
        <f>COUNTIFS(Data!D:D,"Unaware",Data!H:H,1)+COUNTIFS(Data!D:D,"Unaware",Data!I:I,1)+COUNTIFS(Data!D:D,"Unaware",Data!J:J,1)</f>
        <v>12</v>
      </c>
      <c r="D6" s="2">
        <f>COUNTIFS(Data!D:D,"Unaware",Data!H:H,2)+COUNTIFS(Data!D:D,"Unaware",Data!I:I,2)+COUNTIFS(Data!D:D,"Unaware",Data!J:J,2)</f>
        <v>12</v>
      </c>
      <c r="E6" s="2">
        <f t="shared" si="1"/>
        <v>24</v>
      </c>
      <c r="F6" s="11">
        <f t="shared" si="2"/>
        <v>0.5</v>
      </c>
      <c r="G6" s="2"/>
      <c r="H6" s="2"/>
      <c r="I6" s="6"/>
      <c r="J6" s="8" t="s">
        <v>80</v>
      </c>
      <c r="K6" s="12">
        <f>F8</f>
        <v>0.08333333333</v>
      </c>
      <c r="L6" s="12">
        <f>F9</f>
        <v>0.7083333333</v>
      </c>
      <c r="M6" s="12">
        <f t="shared" si="3"/>
        <v>0.625</v>
      </c>
      <c r="N6" s="2"/>
      <c r="O6" s="2"/>
      <c r="P6" s="2"/>
      <c r="Q6" s="2"/>
      <c r="R6" s="2"/>
      <c r="S6" s="2"/>
      <c r="T6" s="2"/>
      <c r="U6" s="2"/>
    </row>
    <row r="7">
      <c r="A7" s="4"/>
      <c r="B7" s="4"/>
      <c r="C7" s="2"/>
      <c r="D7" s="2"/>
      <c r="E7" s="2"/>
      <c r="F7" s="11"/>
      <c r="G7" s="2"/>
      <c r="H7" s="2"/>
      <c r="I7" s="2"/>
      <c r="J7" s="4"/>
      <c r="K7" s="13"/>
      <c r="L7" s="13"/>
      <c r="M7" s="13"/>
      <c r="N7" s="2"/>
      <c r="O7" s="2"/>
      <c r="P7" s="2"/>
      <c r="Q7" s="2"/>
      <c r="R7" s="2"/>
      <c r="S7" s="2"/>
      <c r="T7" s="2"/>
      <c r="U7" s="2"/>
    </row>
    <row r="8">
      <c r="A8" s="9" t="s">
        <v>80</v>
      </c>
      <c r="B8" s="14" t="s">
        <v>20</v>
      </c>
      <c r="C8" s="15">
        <f>COUNTIFS(Data!D:D,"Aware",Data!K:K,1)+COUNTIFS(Data!D:D,"Aware",Data!L:L,1)+COUNTIFS(Data!D:D,"Aware",Data!M:M,1)</f>
        <v>2</v>
      </c>
      <c r="D8" s="15">
        <f>COUNTIFS(Data!D:D,"Aware",Data!K:K,2)+COUNTIFS(Data!D:D,"Aware",Data!L:L,2)+COUNTIFS(Data!D:D,"Aware",Data!M:M,2)</f>
        <v>22</v>
      </c>
      <c r="E8" s="15">
        <f t="shared" ref="E8:E9" si="4">SUM(C8:D8)</f>
        <v>24</v>
      </c>
      <c r="F8" s="12">
        <f t="shared" ref="F8:F9" si="5">(C8/E8)</f>
        <v>0.08333333333</v>
      </c>
      <c r="G8" s="2"/>
      <c r="H8" s="2"/>
      <c r="I8" s="2"/>
      <c r="J8" s="8" t="s">
        <v>81</v>
      </c>
      <c r="K8" s="12">
        <v>0.3</v>
      </c>
      <c r="L8" s="12">
        <v>0.76</v>
      </c>
      <c r="M8" s="12">
        <v>0.46</v>
      </c>
      <c r="N8" s="2"/>
      <c r="O8" s="2"/>
      <c r="P8" s="2"/>
      <c r="Q8" s="2"/>
      <c r="R8" s="2"/>
      <c r="S8" s="2"/>
      <c r="T8" s="2"/>
      <c r="U8" s="2"/>
    </row>
    <row r="9">
      <c r="A9" s="8" t="s">
        <v>80</v>
      </c>
      <c r="B9" s="6" t="s">
        <v>32</v>
      </c>
      <c r="C9" s="15">
        <f>COUNTIFS(Data!D:D,"Unaware",Data!K:K,1)+COUNTIFS(Data!D:D,"Unaware",Data!L:L,1)+COUNTIFS(Data!D:D,"Unaware",Data!M:M,1)</f>
        <v>17</v>
      </c>
      <c r="D9" s="16">
        <f>COUNTIFS(Data!D:D,"Unaware",Data!K:K,2)+COUNTIFS(Data!D:D,"Unaware",Data!L:L,2)+COUNTIFS(Data!D:D,"Unaware",Data!M:M,2)</f>
        <v>7</v>
      </c>
      <c r="E9" s="16">
        <f t="shared" si="4"/>
        <v>24</v>
      </c>
      <c r="F9" s="12">
        <f t="shared" si="5"/>
        <v>0.7083333333</v>
      </c>
      <c r="G9" s="2"/>
      <c r="H9" s="2"/>
      <c r="I9" s="2"/>
      <c r="J9" s="2"/>
      <c r="K9" s="2"/>
      <c r="L9" s="2"/>
      <c r="M9" s="2"/>
      <c r="N9" s="2"/>
      <c r="O9" s="2"/>
      <c r="P9" s="2"/>
      <c r="Q9" s="2"/>
      <c r="R9" s="2"/>
      <c r="S9" s="2"/>
      <c r="T9" s="2"/>
      <c r="U9" s="2"/>
    </row>
    <row r="10">
      <c r="A10" s="2"/>
      <c r="B10" s="2"/>
      <c r="C10" s="2"/>
      <c r="D10" s="2"/>
      <c r="E10" s="2"/>
      <c r="F10" s="2"/>
      <c r="G10" s="2"/>
      <c r="H10" s="2"/>
      <c r="I10" s="2"/>
      <c r="J10" s="2"/>
      <c r="K10" s="2"/>
      <c r="L10" s="2"/>
      <c r="M10" s="2"/>
      <c r="N10" s="2"/>
      <c r="O10" s="2"/>
      <c r="P10" s="2"/>
      <c r="Q10" s="2"/>
      <c r="R10" s="2"/>
      <c r="S10" s="2"/>
      <c r="T10" s="2"/>
      <c r="U10" s="2"/>
    </row>
    <row r="11">
      <c r="A11" s="2"/>
      <c r="B11" s="2"/>
      <c r="C11" s="2"/>
      <c r="D11" s="2"/>
      <c r="E11" s="2"/>
      <c r="F11" s="2"/>
      <c r="G11" s="2"/>
      <c r="H11" s="2"/>
      <c r="I11" s="2"/>
      <c r="J11" s="4"/>
      <c r="K11" s="2"/>
      <c r="L11" s="2"/>
      <c r="M11" s="2"/>
      <c r="N11" s="2"/>
      <c r="O11" s="2"/>
      <c r="P11" s="2"/>
      <c r="Q11" s="2"/>
      <c r="R11" s="2"/>
      <c r="S11" s="2"/>
      <c r="T11" s="2"/>
      <c r="U11" s="2"/>
    </row>
    <row r="12">
      <c r="A12" s="4"/>
      <c r="B12" s="4"/>
      <c r="C12" s="4"/>
      <c r="D12" s="4"/>
      <c r="E12" s="4"/>
      <c r="F12" s="4"/>
      <c r="G12" s="4"/>
      <c r="H12" s="4"/>
      <c r="I12" s="4"/>
      <c r="J12" s="14" t="s">
        <v>82</v>
      </c>
      <c r="K12" s="4"/>
      <c r="L12" s="4"/>
      <c r="M12" s="4"/>
      <c r="N12" s="4"/>
      <c r="O12" s="2"/>
      <c r="P12" s="2"/>
      <c r="Q12" s="2"/>
      <c r="R12" s="2"/>
      <c r="S12" s="2"/>
      <c r="T12" s="2"/>
      <c r="U12" s="2"/>
    </row>
    <row r="13">
      <c r="A13" s="4"/>
      <c r="B13" s="4"/>
      <c r="C13" s="2"/>
      <c r="D13" s="2"/>
      <c r="E13" s="2"/>
      <c r="F13" s="2"/>
      <c r="G13" s="2"/>
      <c r="H13" s="2"/>
      <c r="I13" s="2"/>
      <c r="J13" s="10" t="s">
        <v>47</v>
      </c>
      <c r="K13" s="4" t="s">
        <v>83</v>
      </c>
      <c r="L13" s="2"/>
      <c r="M13" s="2"/>
      <c r="N13" s="2"/>
      <c r="O13" s="2"/>
      <c r="P13" s="2"/>
      <c r="Q13" s="2"/>
      <c r="R13" s="2"/>
      <c r="S13" s="2"/>
      <c r="T13" s="2"/>
      <c r="U13" s="2"/>
    </row>
    <row r="14">
      <c r="A14" s="4"/>
      <c r="B14" s="4"/>
      <c r="C14" s="2"/>
      <c r="D14" s="2"/>
      <c r="E14" s="2"/>
      <c r="F14" s="2"/>
      <c r="G14" s="2"/>
      <c r="H14" s="2"/>
      <c r="I14" s="2"/>
      <c r="J14" s="3" t="s">
        <v>80</v>
      </c>
      <c r="K14" s="4" t="s">
        <v>84</v>
      </c>
      <c r="L14" s="2"/>
      <c r="M14" s="2"/>
      <c r="N14" s="2"/>
      <c r="O14" s="2"/>
      <c r="P14" s="2"/>
      <c r="Q14" s="2"/>
      <c r="R14" s="2"/>
      <c r="S14" s="2"/>
      <c r="T14" s="2"/>
      <c r="U14" s="2"/>
    </row>
    <row r="15">
      <c r="A15" s="4"/>
      <c r="B15" s="4"/>
      <c r="C15" s="2"/>
      <c r="D15" s="2"/>
      <c r="E15" s="2"/>
      <c r="F15" s="2"/>
      <c r="G15" s="2"/>
      <c r="H15" s="2"/>
      <c r="I15" s="2"/>
      <c r="J15" s="2"/>
      <c r="K15" s="2"/>
      <c r="L15" s="2"/>
      <c r="M15" s="2"/>
      <c r="N15" s="2"/>
      <c r="O15" s="2"/>
      <c r="P15" s="2"/>
      <c r="Q15" s="2"/>
      <c r="R15" s="2"/>
      <c r="S15" s="2"/>
      <c r="T15" s="2"/>
      <c r="U15" s="2"/>
    </row>
    <row r="16">
      <c r="A16" s="4"/>
      <c r="B16" s="4"/>
      <c r="C16" s="2"/>
      <c r="D16" s="2"/>
      <c r="E16" s="2"/>
      <c r="F16" s="2"/>
      <c r="G16" s="2"/>
      <c r="H16" s="2"/>
      <c r="I16" s="2"/>
      <c r="J16" s="4" t="s">
        <v>85</v>
      </c>
      <c r="K16" s="2"/>
      <c r="L16" s="2"/>
      <c r="M16" s="2"/>
      <c r="N16" s="2"/>
      <c r="O16" s="2"/>
      <c r="P16" s="2"/>
      <c r="Q16" s="2"/>
      <c r="R16" s="2"/>
      <c r="S16" s="2"/>
      <c r="T16" s="2"/>
      <c r="U16" s="2"/>
    </row>
    <row r="17">
      <c r="A17" s="2"/>
      <c r="B17" s="2"/>
      <c r="C17" s="2"/>
      <c r="D17" s="2"/>
      <c r="E17" s="2"/>
      <c r="F17" s="2"/>
      <c r="G17" s="2"/>
      <c r="H17" s="2"/>
      <c r="I17" s="2"/>
      <c r="J17" s="3" t="s">
        <v>86</v>
      </c>
      <c r="K17" s="4" t="s">
        <v>87</v>
      </c>
      <c r="L17" s="2"/>
      <c r="M17" s="2"/>
      <c r="N17" s="2"/>
      <c r="O17" s="2"/>
      <c r="P17" s="2"/>
      <c r="Q17" s="2"/>
      <c r="R17" s="2"/>
      <c r="S17" s="2"/>
      <c r="T17" s="2"/>
      <c r="U17" s="2"/>
    </row>
    <row r="18">
      <c r="A18" s="2"/>
      <c r="B18" s="2"/>
      <c r="C18" s="2"/>
      <c r="D18" s="2"/>
      <c r="E18" s="2"/>
      <c r="F18" s="2"/>
      <c r="G18" s="2"/>
      <c r="H18" s="2"/>
      <c r="I18" s="2"/>
      <c r="J18" s="2"/>
      <c r="K18" s="2"/>
      <c r="L18" s="2"/>
      <c r="M18" s="2"/>
      <c r="N18" s="2"/>
      <c r="O18" s="2"/>
      <c r="P18" s="2"/>
      <c r="Q18" s="2"/>
      <c r="R18" s="2"/>
      <c r="S18" s="2"/>
      <c r="T18" s="2"/>
      <c r="U18" s="2"/>
    </row>
    <row r="19">
      <c r="A19" s="2"/>
      <c r="B19" s="2"/>
      <c r="C19" s="2"/>
      <c r="D19" s="2"/>
      <c r="E19" s="2"/>
      <c r="F19" s="2"/>
      <c r="G19" s="2"/>
      <c r="H19" s="2"/>
      <c r="I19" s="2"/>
      <c r="J19" s="2"/>
      <c r="K19" s="2"/>
      <c r="L19" s="2"/>
      <c r="M19" s="2"/>
      <c r="N19" s="2"/>
      <c r="O19" s="2"/>
      <c r="P19" s="2"/>
      <c r="Q19" s="2"/>
      <c r="R19" s="2"/>
      <c r="S19" s="2"/>
      <c r="T19" s="2"/>
      <c r="U19" s="2"/>
    </row>
    <row r="20">
      <c r="A20" s="2"/>
      <c r="B20" s="2"/>
      <c r="C20" s="2"/>
      <c r="D20" s="2"/>
      <c r="E20" s="2"/>
      <c r="F20" s="2"/>
      <c r="G20" s="2"/>
      <c r="H20" s="2"/>
      <c r="I20" s="2"/>
      <c r="J20" s="2"/>
      <c r="K20" s="2"/>
      <c r="L20" s="2"/>
      <c r="M20" s="2"/>
      <c r="N20" s="2"/>
      <c r="O20" s="2"/>
      <c r="P20" s="2"/>
      <c r="Q20" s="2"/>
      <c r="R20" s="2"/>
      <c r="S20" s="2"/>
      <c r="T20" s="2"/>
      <c r="U20" s="2"/>
    </row>
    <row r="21">
      <c r="A21" s="2"/>
      <c r="B21" s="2"/>
      <c r="C21" s="2"/>
      <c r="D21" s="2"/>
      <c r="E21" s="2"/>
      <c r="F21" s="2"/>
      <c r="G21" s="2"/>
      <c r="H21" s="2"/>
      <c r="I21" s="2"/>
      <c r="J21" s="2"/>
      <c r="K21" s="2"/>
      <c r="L21" s="2"/>
      <c r="M21" s="2"/>
      <c r="N21" s="2"/>
      <c r="O21" s="2"/>
      <c r="P21" s="2"/>
      <c r="Q21" s="2"/>
      <c r="R21" s="2"/>
      <c r="S21" s="2"/>
      <c r="T21" s="2"/>
      <c r="U21" s="2"/>
    </row>
    <row r="22">
      <c r="A22" s="2"/>
      <c r="B22" s="2"/>
      <c r="C22" s="2"/>
      <c r="D22" s="2"/>
      <c r="E22" s="2"/>
      <c r="F22" s="2"/>
      <c r="G22" s="2"/>
      <c r="H22" s="2"/>
      <c r="I22" s="2"/>
      <c r="J22" s="2"/>
      <c r="K22" s="2"/>
      <c r="L22" s="2"/>
      <c r="M22" s="2"/>
      <c r="N22" s="2"/>
      <c r="O22" s="2"/>
      <c r="P22" s="2"/>
      <c r="Q22" s="2"/>
      <c r="R22" s="2"/>
      <c r="S22" s="2"/>
      <c r="T22" s="2"/>
      <c r="U22" s="2"/>
    </row>
    <row r="23">
      <c r="A23" s="2"/>
      <c r="B23" s="2"/>
      <c r="C23" s="2"/>
      <c r="D23" s="2"/>
      <c r="E23" s="2"/>
      <c r="F23" s="2"/>
      <c r="G23" s="2"/>
      <c r="H23" s="2"/>
      <c r="I23" s="2"/>
      <c r="J23" s="2"/>
      <c r="K23" s="2"/>
      <c r="L23" s="2"/>
      <c r="M23" s="2"/>
      <c r="N23" s="2"/>
      <c r="O23" s="2"/>
      <c r="P23" s="2"/>
      <c r="Q23" s="2"/>
      <c r="R23" s="2"/>
      <c r="S23" s="2"/>
      <c r="T23" s="2"/>
      <c r="U23" s="2"/>
    </row>
    <row r="24">
      <c r="A24" s="2"/>
      <c r="B24" s="2"/>
      <c r="C24" s="2"/>
      <c r="D24" s="2"/>
      <c r="E24" s="2"/>
      <c r="F24" s="2"/>
      <c r="G24" s="2"/>
      <c r="H24" s="2"/>
      <c r="I24" s="2"/>
      <c r="J24" s="2"/>
      <c r="K24" s="2"/>
      <c r="L24" s="2"/>
      <c r="M24" s="2"/>
      <c r="N24" s="2"/>
      <c r="O24" s="2"/>
      <c r="P24" s="2"/>
      <c r="Q24" s="2"/>
      <c r="R24" s="2"/>
      <c r="S24" s="2"/>
      <c r="T24" s="2"/>
      <c r="U24" s="2"/>
    </row>
    <row r="25">
      <c r="A25" s="2"/>
      <c r="B25" s="2"/>
      <c r="C25" s="2"/>
      <c r="D25" s="2"/>
      <c r="E25" s="2"/>
      <c r="F25" s="2"/>
      <c r="G25" s="2"/>
      <c r="H25" s="2"/>
      <c r="I25" s="2"/>
      <c r="J25" s="2"/>
      <c r="K25" s="2"/>
      <c r="L25" s="2"/>
      <c r="M25" s="2"/>
      <c r="N25" s="2"/>
      <c r="O25" s="2"/>
      <c r="P25" s="2"/>
      <c r="Q25" s="2"/>
      <c r="R25" s="2"/>
      <c r="S25" s="2"/>
      <c r="T25" s="2"/>
      <c r="U25" s="2"/>
    </row>
    <row r="26">
      <c r="A26" s="2"/>
      <c r="B26" s="2"/>
      <c r="C26" s="2"/>
      <c r="D26" s="2"/>
      <c r="E26" s="2"/>
      <c r="F26" s="2"/>
      <c r="G26" s="2"/>
      <c r="H26" s="2"/>
      <c r="I26" s="2"/>
      <c r="J26" s="2"/>
      <c r="K26" s="2"/>
      <c r="L26" s="2"/>
      <c r="M26" s="2"/>
      <c r="N26" s="2"/>
      <c r="O26" s="2"/>
      <c r="P26" s="2"/>
      <c r="Q26" s="2"/>
      <c r="R26" s="2"/>
      <c r="S26" s="2"/>
      <c r="T26" s="2"/>
      <c r="U26" s="2"/>
    </row>
    <row r="27">
      <c r="A27" s="2"/>
      <c r="B27" s="2"/>
      <c r="C27" s="2"/>
      <c r="D27" s="2"/>
      <c r="E27" s="2"/>
      <c r="F27" s="2"/>
      <c r="G27" s="2"/>
      <c r="H27" s="2"/>
      <c r="I27" s="2"/>
      <c r="J27" s="2"/>
      <c r="K27" s="2"/>
      <c r="L27" s="2"/>
      <c r="M27" s="2"/>
      <c r="N27" s="2"/>
      <c r="O27" s="2"/>
      <c r="P27" s="2"/>
      <c r="Q27" s="2"/>
      <c r="R27" s="2"/>
      <c r="S27" s="2"/>
      <c r="T27" s="2"/>
      <c r="U27"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4" max="4" width="59.75"/>
    <col customWidth="1" min="5" max="5" width="59.25"/>
  </cols>
  <sheetData>
    <row r="1">
      <c r="A1" s="2"/>
      <c r="B1" s="2"/>
      <c r="C1" s="2"/>
      <c r="D1" s="2"/>
      <c r="E1" s="2"/>
      <c r="F1" s="2"/>
    </row>
    <row r="2">
      <c r="A2" s="2"/>
      <c r="B2" s="2"/>
      <c r="C2" s="2"/>
      <c r="D2" s="2"/>
      <c r="E2" s="2"/>
      <c r="F2" s="2"/>
    </row>
    <row r="3">
      <c r="A3" s="2"/>
      <c r="B3" s="2"/>
      <c r="C3" s="2"/>
      <c r="D3" s="2"/>
      <c r="E3" s="2"/>
      <c r="F3" s="2"/>
    </row>
    <row r="4">
      <c r="A4" s="3" t="s">
        <v>12</v>
      </c>
      <c r="B4" s="3" t="s">
        <v>14</v>
      </c>
      <c r="C4" s="3" t="s">
        <v>15</v>
      </c>
      <c r="D4" s="3" t="s">
        <v>16</v>
      </c>
      <c r="E4" s="3" t="s">
        <v>17</v>
      </c>
      <c r="F4" s="2"/>
    </row>
    <row r="5">
      <c r="A5" s="4" t="s">
        <v>18</v>
      </c>
      <c r="B5" s="4" t="s">
        <v>19</v>
      </c>
      <c r="C5" s="4" t="s">
        <v>21</v>
      </c>
      <c r="D5" s="4" t="s">
        <v>22</v>
      </c>
      <c r="E5" s="5" t="s">
        <v>26</v>
      </c>
      <c r="F5" s="2"/>
    </row>
    <row r="6">
      <c r="A6" s="4" t="s">
        <v>31</v>
      </c>
      <c r="B6" s="4" t="s">
        <v>33</v>
      </c>
      <c r="C6" s="4" t="s">
        <v>21</v>
      </c>
      <c r="D6" s="4" t="s">
        <v>37</v>
      </c>
      <c r="E6" s="4" t="s">
        <v>40</v>
      </c>
      <c r="F6" s="2"/>
    </row>
    <row r="7">
      <c r="A7" s="4" t="s">
        <v>42</v>
      </c>
      <c r="B7" s="4" t="s">
        <v>43</v>
      </c>
      <c r="C7" s="4" t="s">
        <v>44</v>
      </c>
      <c r="D7" s="4" t="s">
        <v>45</v>
      </c>
      <c r="E7" s="4" t="s">
        <v>49</v>
      </c>
      <c r="F7" s="2"/>
    </row>
    <row r="8">
      <c r="A8" s="2"/>
      <c r="B8" s="2"/>
      <c r="C8" s="2"/>
      <c r="D8" s="2"/>
      <c r="E8" s="2"/>
      <c r="F8" s="2"/>
    </row>
    <row r="9">
      <c r="A9" s="2"/>
      <c r="B9" s="2"/>
      <c r="C9" s="2"/>
      <c r="D9" s="2"/>
      <c r="E9" s="2"/>
      <c r="F9" s="2"/>
    </row>
    <row r="10">
      <c r="A10" s="2"/>
      <c r="B10" s="2"/>
      <c r="C10" s="2"/>
      <c r="D10" s="2"/>
      <c r="E10" s="2"/>
      <c r="F10" s="2"/>
    </row>
    <row r="11">
      <c r="A11" s="2"/>
      <c r="B11" s="2"/>
      <c r="C11" s="2"/>
      <c r="E11" s="2"/>
      <c r="F11" s="2"/>
    </row>
    <row r="12">
      <c r="A12" s="2"/>
      <c r="B12" s="2"/>
      <c r="C12" s="2"/>
      <c r="D12" s="2"/>
      <c r="E12" s="2"/>
      <c r="F12" s="2"/>
    </row>
    <row r="13">
      <c r="A13" s="2"/>
      <c r="B13" s="2"/>
      <c r="C13" s="2"/>
      <c r="D13" s="2"/>
      <c r="E13" s="2"/>
      <c r="F13" s="2"/>
    </row>
    <row r="14">
      <c r="A14" s="2"/>
      <c r="B14" s="2"/>
      <c r="C14" s="2"/>
      <c r="D14" s="2"/>
      <c r="E14" s="2"/>
      <c r="F14" s="2"/>
    </row>
    <row r="15">
      <c r="A15" s="2"/>
      <c r="B15" s="2"/>
      <c r="C15" s="2"/>
      <c r="D15" s="2"/>
      <c r="E15" s="2"/>
      <c r="F15" s="2"/>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c r="A21" s="2"/>
      <c r="B21" s="2"/>
      <c r="C21" s="2"/>
      <c r="D21" s="2"/>
      <c r="E21" s="2"/>
      <c r="F21" s="2"/>
    </row>
    <row r="22">
      <c r="A22" s="2"/>
      <c r="B22" s="2"/>
      <c r="C22" s="2"/>
      <c r="D22" s="2"/>
      <c r="E22" s="2"/>
      <c r="F22" s="2"/>
    </row>
    <row r="23">
      <c r="A23" s="2"/>
      <c r="B23" s="2"/>
      <c r="C23" s="2"/>
      <c r="D23" s="2"/>
      <c r="E23" s="2"/>
      <c r="F23" s="2"/>
    </row>
  </sheetData>
  <drawing r:id="rId1"/>
</worksheet>
</file>